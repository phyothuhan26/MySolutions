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DSG_OPA\MySolutions\WorkHistory\OutputDoc\"/>
    </mc:Choice>
  </mc:AlternateContent>
  <xr:revisionPtr revIDLastSave="0" documentId="13_ncr:1_{401CD013-F729-46C0-9A8C-1A083006B8A7}" xr6:coauthVersionLast="47" xr6:coauthVersionMax="47" xr10:uidLastSave="{00000000-0000-0000-0000-000000000000}"/>
  <bookViews>
    <workbookView xWindow="-108" yWindow="-108" windowWidth="23256" windowHeight="13896" xr2:uid="{7733C39E-4406-423C-A9B5-8DE223F0AB4B}"/>
  </bookViews>
  <sheets>
    <sheet name="Performance Appraisal Fo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4" i="1" l="1"/>
  <c r="B64" i="1" s="1"/>
  <c r="H51" i="1"/>
  <c r="B51" i="1" s="1"/>
  <c r="D51" i="1" s="1"/>
  <c r="H50" i="1"/>
  <c r="B50" i="1" s="1"/>
  <c r="D50" i="1" s="1"/>
  <c r="H49" i="1"/>
  <c r="B49" i="1" s="1"/>
  <c r="D49" i="1" s="1"/>
  <c r="H48" i="1"/>
  <c r="B48" i="1" s="1"/>
  <c r="H52" i="1" l="1"/>
  <c r="B52" i="1" s="1"/>
  <c r="D48" i="1"/>
  <c r="B70" i="1" l="1"/>
  <c r="B71" i="1" s="1"/>
  <c r="D52" i="1"/>
</calcChain>
</file>

<file path=xl/sharedStrings.xml><?xml version="1.0" encoding="utf-8"?>
<sst xmlns="http://schemas.openxmlformats.org/spreadsheetml/2006/main" count="166" uniqueCount="91">
  <si>
    <t>FY'26 Performanace Appraisal Form</t>
  </si>
  <si>
    <t>1 Oct 2025 to 30 Sep 2026</t>
  </si>
  <si>
    <t>Part 1: PERSONNEL DETAILS</t>
  </si>
  <si>
    <t>Part 2: KEY DATES</t>
  </si>
  <si>
    <t>Date</t>
  </si>
  <si>
    <t>Key for Rating:</t>
  </si>
  <si>
    <t>Employee Name:</t>
  </si>
  <si>
    <t>PHYO THU HAN</t>
  </si>
  <si>
    <t>Manager Name:</t>
  </si>
  <si>
    <t>Set KPIs &amp; Personal Goals with Employee</t>
  </si>
  <si>
    <t>Poor</t>
  </si>
  <si>
    <t>Underachieved expected outcomes in all areas</t>
  </si>
  <si>
    <t>Position:</t>
  </si>
  <si>
    <t xml:space="preserve">Solution Architect </t>
  </si>
  <si>
    <t>First Review (Discuss &amp; Score)</t>
  </si>
  <si>
    <t>Below Satisfactory</t>
  </si>
  <si>
    <t>Underachieved expected outcomes in most areas</t>
  </si>
  <si>
    <t>Rank:</t>
  </si>
  <si>
    <t>Second Review (Discuss &amp; Score)</t>
  </si>
  <si>
    <t>Satisfactory</t>
  </si>
  <si>
    <t>Achieved all expected outcomes</t>
  </si>
  <si>
    <t>Department:</t>
  </si>
  <si>
    <t>DITI</t>
  </si>
  <si>
    <t>Third Review (Discuss &amp; Score)</t>
  </si>
  <si>
    <t>Above Satisfactory</t>
  </si>
  <si>
    <t>Exceeded expected outcomes in most areas</t>
  </si>
  <si>
    <t>Group / SBU:</t>
  </si>
  <si>
    <t>CDSG</t>
  </si>
  <si>
    <t>Final Review (Discuss &amp; Score)</t>
  </si>
  <si>
    <t xml:space="preserve">Excellent </t>
  </si>
  <si>
    <t>Exceeded expected outcomes in all areas</t>
  </si>
  <si>
    <t>Location:</t>
  </si>
  <si>
    <t>YIC</t>
  </si>
  <si>
    <t>Data Received by Group HR (Submit)</t>
  </si>
  <si>
    <t xml:space="preserve">Part 3: Individual KPIs </t>
  </si>
  <si>
    <t>Individual Objectives related to Group / SBU Objective or Initiative Supported</t>
  </si>
  <si>
    <t xml:space="preserve"> Architecture Support for CCN Projects(OKR 1.1 - 1.12)(retail)</t>
  </si>
  <si>
    <t>Implement Application Performance Monitoring System (OKR 2.4)</t>
  </si>
  <si>
    <t>Individual Target</t>
  </si>
  <si>
    <t xml:space="preserve">Key Result 1 : Review and validate vendor propose solutoin architecture to ensure alingment with EA standards.
Key Result 2 : Provide technical guidance during design and implementation. 
Key Result 3 : Documenting architecture desicion. </t>
  </si>
  <si>
    <t>Improve application performance and reliability through monitoring and optimization</t>
  </si>
  <si>
    <t>1st Quarter Achievement</t>
  </si>
  <si>
    <t xml:space="preserve">
</t>
  </si>
  <si>
    <t>2nd Quarter Achievement</t>
  </si>
  <si>
    <r>
      <rPr>
        <b/>
        <sz val="9"/>
        <color rgb="FF000000"/>
        <rFont val="Calibri"/>
        <scheme val="minor"/>
      </rPr>
      <t xml:space="preserve"> G&amp;G Eservice Revamp
</t>
    </r>
    <r>
      <rPr>
        <sz val="9"/>
        <color rgb="FF000000"/>
        <rFont val="Calibri"/>
        <scheme val="minor"/>
      </rPr>
      <t xml:space="preserve">1.Complete architecture assessment and deliver </t>
    </r>
    <r>
      <rPr>
        <b/>
        <sz val="9"/>
        <color rgb="FF000000"/>
        <rFont val="Calibri"/>
        <scheme val="minor"/>
      </rPr>
      <t>approved solution design</t>
    </r>
    <r>
      <rPr>
        <sz val="9"/>
        <color rgb="FF000000"/>
        <rFont val="Calibri"/>
        <scheme val="minor"/>
      </rPr>
      <t xml:space="preserve"> (ARB-ready)
2.Reduce core table data volume from </t>
    </r>
    <r>
      <rPr>
        <b/>
        <sz val="9"/>
        <color rgb="FF000000"/>
        <rFont val="Calibri"/>
        <scheme val="minor"/>
      </rPr>
      <t>7 million</t>
    </r>
    <r>
      <rPr>
        <sz val="9"/>
        <color rgb="FF000000"/>
        <rFont val="Calibri"/>
        <scheme val="minor"/>
      </rPr>
      <t xml:space="preserve"> to </t>
    </r>
    <r>
      <rPr>
        <b/>
        <sz val="9"/>
        <color rgb="FF000000"/>
        <rFont val="Calibri"/>
        <scheme val="minor"/>
      </rPr>
      <t>1 million</t>
    </r>
    <r>
      <rPr>
        <sz val="9"/>
        <color rgb="FF000000"/>
        <rFont val="Calibri"/>
        <scheme val="minor"/>
      </rPr>
      <t xml:space="preserve"> records (≥85% reduction)
3.Improve report/query performance by ≥</t>
    </r>
    <r>
      <rPr>
        <b/>
        <sz val="9"/>
        <color rgb="FF000000"/>
        <rFont val="Calibri"/>
        <scheme val="minor"/>
      </rPr>
      <t>70%</t>
    </r>
    <r>
      <rPr>
        <sz val="9"/>
        <color rgb="FF000000"/>
        <rFont val="Calibri"/>
        <scheme val="minor"/>
      </rPr>
      <t xml:space="preserve"> after data optimization
4.Establish data moving  plan for long-term scalability
</t>
    </r>
    <r>
      <rPr>
        <b/>
        <sz val="9"/>
        <color rgb="FF000000"/>
        <rFont val="Calibri"/>
        <scheme val="minor"/>
      </rPr>
      <t xml:space="preserve"> AML
</t>
    </r>
    <r>
      <rPr>
        <sz val="9"/>
        <color rgb="FF000000"/>
        <rFont val="Calibri"/>
        <scheme val="minor"/>
      </rPr>
      <t xml:space="preserve">Complete </t>
    </r>
    <r>
      <rPr>
        <b/>
        <sz val="9"/>
        <color rgb="FF000000"/>
        <rFont val="Calibri"/>
        <scheme val="minor"/>
      </rPr>
      <t>AML system analysis i</t>
    </r>
    <r>
      <rPr>
        <sz val="9"/>
        <color rgb="FF000000"/>
        <rFont val="Calibri"/>
        <scheme val="minor"/>
      </rPr>
      <t xml:space="preserve">ncluding functional and technical requirements
</t>
    </r>
    <r>
      <rPr>
        <b/>
        <sz val="9"/>
        <color rgb="FF000000"/>
        <rFont val="Calibri"/>
        <scheme val="minor"/>
      </rPr>
      <t xml:space="preserve"> Merchant Portal(biller report)
</t>
    </r>
    <r>
      <rPr>
        <sz val="9"/>
        <color rgb="FF000000"/>
        <rFont val="Calibri"/>
        <scheme val="minor"/>
      </rPr>
      <t xml:space="preserve"> Support </t>
    </r>
    <r>
      <rPr>
        <b/>
        <sz val="9"/>
        <color rgb="FF000000"/>
        <rFont val="Calibri"/>
        <scheme val="minor"/>
      </rPr>
      <t>dynamic integration</t>
    </r>
    <r>
      <rPr>
        <sz val="9"/>
        <color rgb="FF000000"/>
        <rFont val="Calibri"/>
        <scheme val="minor"/>
      </rPr>
      <t xml:space="preserve"> for using jasper biller report</t>
    </r>
  </si>
  <si>
    <t>3rd Quarter Achievement</t>
  </si>
  <si>
    <t>4th Quarter Achievement</t>
  </si>
  <si>
    <t>1st Quarter Rating from Line Manager
(1-5)</t>
  </si>
  <si>
    <t>2nd Quarter Rating from Line Manager
(1-5)</t>
  </si>
  <si>
    <t>3rd Quarter Rating from Line Manager 
(1-5)</t>
  </si>
  <si>
    <t>4th Quarter Rating from Line Manager
(1-5)</t>
  </si>
  <si>
    <t>Part 4: Comments</t>
  </si>
  <si>
    <t>Employee Self Review , Comments:</t>
  </si>
  <si>
    <t>Quarter 1</t>
  </si>
  <si>
    <t>Quarter 2</t>
  </si>
  <si>
    <t xml:space="preserve">Quarter 3  </t>
  </si>
  <si>
    <t>Quarter 4</t>
  </si>
  <si>
    <t>Line Manager Comments:</t>
  </si>
  <si>
    <t>Quarter 3</t>
  </si>
  <si>
    <t>Total (Average) Evaluation Score on Individual KPIs</t>
  </si>
  <si>
    <t xml:space="preserve">Quarter 4 </t>
  </si>
  <si>
    <t>Final Score</t>
  </si>
  <si>
    <t>Part 5: Personal Development Goals (To be completed during the annual appraisal period only)</t>
  </si>
  <si>
    <t>Personal Development Goal</t>
  </si>
  <si>
    <t>Strengthen architecture capability to design scalable and resilient systems</t>
  </si>
  <si>
    <t>Enhance stakeholder communication and product thinking</t>
  </si>
  <si>
    <t>Enhance cloud architecture capability using Kubernetes for scalable and resilient deployments</t>
  </si>
  <si>
    <t>Agreed To Assessment Criteria</t>
  </si>
  <si>
    <t>Complete 1 architecture books and related books (Fundamentals-of-software-architecture-an-engineering-approach)</t>
  </si>
  <si>
    <t>Pass PSPO certification in FY26</t>
  </si>
  <si>
    <t>Complete Kubernetes course on Coursera</t>
  </si>
  <si>
    <t>Employee Assessment 
(Half Year)</t>
  </si>
  <si>
    <t>Manager Assessment 
(Half Year)</t>
  </si>
  <si>
    <t>Employee Assessment 
(End of Year)</t>
  </si>
  <si>
    <t>Manager Assessment 
(End of Year)</t>
  </si>
  <si>
    <t>End of Year 
Rating (1-5)</t>
  </si>
  <si>
    <t>Total (Average) Assessment Score on Personal Development Goals</t>
  </si>
  <si>
    <t>Personal Development Goals</t>
  </si>
  <si>
    <t>Overall Annual Performanace Result</t>
  </si>
  <si>
    <t>Weighted % on KPIs</t>
  </si>
  <si>
    <t>Weighted % on Personal Development Goals</t>
  </si>
  <si>
    <t>Overall Score</t>
  </si>
  <si>
    <t>Overall Performance Result</t>
  </si>
  <si>
    <r>
      <rPr>
        <b/>
        <i/>
        <u/>
        <sz val="9"/>
        <color theme="1"/>
        <rFont val="Calibri"/>
        <family val="2"/>
        <scheme val="minor"/>
      </rPr>
      <t xml:space="preserve">Signed by Employee: </t>
    </r>
    <r>
      <rPr>
        <b/>
        <i/>
        <sz val="9"/>
        <color theme="1"/>
        <rFont val="Calibri"/>
        <family val="2"/>
        <scheme val="minor"/>
      </rPr>
      <t xml:space="preserve">        </t>
    </r>
  </si>
  <si>
    <t>Signed by Manager:</t>
  </si>
  <si>
    <t>Approved &amp; Signed by SBU / Group HR:</t>
  </si>
  <si>
    <r>
      <rPr>
        <b/>
        <sz val="9"/>
        <color rgb="FF000000"/>
        <rFont val="Calibri"/>
        <scheme val="minor"/>
      </rPr>
      <t xml:space="preserve"> G&amp;G Eservice (YPS Containment)
</t>
    </r>
    <r>
      <rPr>
        <sz val="9"/>
        <color rgb="FF000000"/>
        <rFont val="Calibri"/>
        <scheme val="minor"/>
      </rPr>
      <t xml:space="preserve">1.Provide clean </t>
    </r>
    <r>
      <rPr>
        <b/>
        <sz val="9"/>
        <color rgb="FF000000"/>
        <rFont val="Calibri"/>
        <scheme val="minor"/>
      </rPr>
      <t xml:space="preserve">POC </t>
    </r>
    <r>
      <rPr>
        <sz val="9"/>
        <color rgb="FF000000"/>
        <rFont val="Calibri"/>
        <scheme val="minor"/>
      </rPr>
      <t>code for yps integration part for reference 
2.Improve system stability by reducing repeated retry operations to</t>
    </r>
    <r>
      <rPr>
        <b/>
        <sz val="9"/>
        <color rgb="FF000000"/>
        <rFont val="Calibri"/>
        <scheme val="minor"/>
      </rPr>
      <t xml:space="preserve"> ≤5%
</t>
    </r>
    <r>
      <rPr>
        <sz val="9"/>
        <color rgb="FF000000"/>
        <rFont val="Calibri"/>
        <scheme val="minor"/>
      </rPr>
      <t>3.Reduce YPS transaction f</t>
    </r>
    <r>
      <rPr>
        <b/>
        <sz val="9"/>
        <color rgb="FF000000"/>
        <rFont val="Calibri"/>
        <scheme val="minor"/>
      </rPr>
      <t xml:space="preserve">ailure rate </t>
    </r>
    <r>
      <rPr>
        <sz val="9"/>
        <color rgb="FF000000"/>
        <rFont val="Calibri"/>
        <scheme val="minor"/>
      </rPr>
      <t>from &gt;</t>
    </r>
    <r>
      <rPr>
        <b/>
        <sz val="9"/>
        <color rgb="FF000000"/>
        <rFont val="Calibri"/>
        <scheme val="minor"/>
      </rPr>
      <t>100 records/week</t>
    </r>
    <r>
      <rPr>
        <sz val="9"/>
        <color rgb="FF000000"/>
        <rFont val="Calibri"/>
        <scheme val="minor"/>
      </rPr>
      <t xml:space="preserve"> → ≤</t>
    </r>
    <r>
      <rPr>
        <b/>
        <sz val="9"/>
        <color rgb="FF000000"/>
        <rFont val="Calibri"/>
        <scheme val="minor"/>
      </rPr>
      <t>10 records/wee</t>
    </r>
    <r>
      <rPr>
        <sz val="9"/>
        <color rgb="FF000000"/>
        <rFont val="Calibri"/>
        <scheme val="minor"/>
      </rPr>
      <t xml:space="preserve">k as maximum
4.Identify and resolve </t>
    </r>
    <r>
      <rPr>
        <b/>
        <sz val="9"/>
        <color rgb="FF000000"/>
        <rFont val="Calibri"/>
        <scheme val="minor"/>
      </rPr>
      <t xml:space="preserve">100% </t>
    </r>
    <r>
      <rPr>
        <sz val="9"/>
        <color rgb="FF000000"/>
        <rFont val="Calibri"/>
        <scheme val="minor"/>
      </rPr>
      <t>of critical performance bottlenecks in G&amp;G Eservice (</t>
    </r>
    <r>
      <rPr>
        <b/>
        <sz val="9"/>
        <color rgb="FF000000"/>
        <rFont val="Calibri"/>
        <scheme val="minor"/>
      </rPr>
      <t>YPS Part</t>
    </r>
    <r>
      <rPr>
        <sz val="9"/>
        <color rgb="FF000000"/>
        <rFont val="Calibri"/>
        <scheme val="minor"/>
      </rPr>
      <t xml:space="preserve">)
</t>
    </r>
    <r>
      <rPr>
        <b/>
        <sz val="9"/>
        <color rgb="FF000000"/>
        <rFont val="Calibri"/>
        <scheme val="minor"/>
      </rPr>
      <t xml:space="preserve">G&amp;G Schedulder Service
</t>
    </r>
    <r>
      <rPr>
        <sz val="9"/>
        <color rgb="FF000000"/>
        <rFont val="Calibri"/>
        <scheme val="minor"/>
      </rPr>
      <t>1. Improve ERP data synchronization reliability by resolving failed and stuck transactions
2.</t>
    </r>
    <r>
      <rPr>
        <b/>
        <sz val="9"/>
        <color rgb="FF000000"/>
        <rFont val="Calibri"/>
        <scheme val="minor"/>
      </rPr>
      <t xml:space="preserve">Clear </t>
    </r>
    <r>
      <rPr>
        <sz val="9"/>
        <color rgb="FF000000"/>
        <rFont val="Calibri"/>
        <scheme val="minor"/>
      </rPr>
      <t>backlog of</t>
    </r>
    <r>
      <rPr>
        <b/>
        <sz val="9"/>
        <color rgb="FF000000"/>
        <rFont val="Calibri"/>
        <scheme val="minor"/>
      </rPr>
      <t xml:space="preserve"> 80,000 </t>
    </r>
    <r>
      <rPr>
        <sz val="9"/>
        <color rgb="FF000000"/>
        <rFont val="Calibri"/>
        <scheme val="minor"/>
      </rPr>
      <t>pending ERP s</t>
    </r>
    <r>
      <rPr>
        <b/>
        <sz val="9"/>
        <color rgb="FF000000"/>
        <rFont val="Calibri"/>
        <scheme val="minor"/>
      </rPr>
      <t>ync records</t>
    </r>
    <r>
      <rPr>
        <sz val="9"/>
        <color rgb="FF000000"/>
        <rFont val="Calibri"/>
        <scheme val="minor"/>
      </rPr>
      <t xml:space="preserve"> within </t>
    </r>
    <r>
      <rPr>
        <b/>
        <sz val="9"/>
        <color rgb="FF000000"/>
        <rFont val="Calibri"/>
        <scheme val="minor"/>
      </rPr>
      <t>3 business days</t>
    </r>
    <r>
      <rPr>
        <sz val="9"/>
        <color rgb="FF000000"/>
        <rFont val="Calibri"/>
        <scheme val="minor"/>
      </rPr>
      <t xml:space="preserve"> and restore normal processing flow</t>
    </r>
  </si>
  <si>
    <t>Development Architecture Standardization (KRA 2.9)</t>
  </si>
  <si>
    <t>N.A</t>
  </si>
  <si>
    <r>
      <t xml:space="preserve">Key Results:
</t>
    </r>
    <r>
      <rPr>
        <sz val="9"/>
        <rFont val="Calibri"/>
        <family val="2"/>
        <scheme val="minor"/>
      </rPr>
      <t xml:space="preserve">1.Defined and </t>
    </r>
    <r>
      <rPr>
        <b/>
        <sz val="9"/>
        <rFont val="Calibri"/>
        <family val="2"/>
        <scheme val="minor"/>
      </rPr>
      <t>standardized</t>
    </r>
    <r>
      <rPr>
        <sz val="9"/>
        <rFont val="Calibri"/>
        <family val="2"/>
        <scheme val="minor"/>
      </rPr>
      <t xml:space="preserve"> </t>
    </r>
    <r>
      <rPr>
        <b/>
        <sz val="9"/>
        <rFont val="Calibri"/>
        <family val="2"/>
        <scheme val="minor"/>
      </rPr>
      <t>Java coding standards</t>
    </r>
    <r>
      <rPr>
        <sz val="9"/>
        <rFont val="Calibri"/>
        <family val="2"/>
        <scheme val="minor"/>
      </rPr>
      <t xml:space="preserve"> aligned with organizational best practices
2.</t>
    </r>
    <r>
      <rPr>
        <b/>
        <sz val="9"/>
        <rFont val="Calibri"/>
        <family val="2"/>
        <scheme val="minor"/>
      </rPr>
      <t>Reviewed</t>
    </r>
    <r>
      <rPr>
        <sz val="9"/>
        <rFont val="Calibri"/>
        <family val="2"/>
        <scheme val="minor"/>
      </rPr>
      <t xml:space="preserve"> and</t>
    </r>
    <r>
      <rPr>
        <b/>
        <sz val="9"/>
        <rFont val="Calibri"/>
        <family val="2"/>
        <scheme val="minor"/>
      </rPr>
      <t xml:space="preserve"> enhanced framework-level coding standards</t>
    </r>
    <r>
      <rPr>
        <sz val="9"/>
        <rFont val="Calibri"/>
        <family val="2"/>
        <scheme val="minor"/>
      </rPr>
      <t xml:space="preserve"> for Java-based applications
3.</t>
    </r>
    <r>
      <rPr>
        <b/>
        <sz val="9"/>
        <rFont val="Calibri"/>
        <family val="2"/>
        <scheme val="minor"/>
      </rPr>
      <t xml:space="preserve">Conducted knowledge sharing sessions </t>
    </r>
    <r>
      <rPr>
        <sz val="9"/>
        <rFont val="Calibri"/>
        <family val="2"/>
        <scheme val="minor"/>
      </rPr>
      <t xml:space="preserve">and </t>
    </r>
    <r>
      <rPr>
        <b/>
        <sz val="9"/>
        <rFont val="Calibri"/>
        <family val="2"/>
        <scheme val="minor"/>
      </rPr>
      <t>provided technical guidance</t>
    </r>
    <r>
      <rPr>
        <sz val="9"/>
        <rFont val="Calibri"/>
        <family val="2"/>
        <scheme val="minor"/>
      </rPr>
      <t xml:space="preserve"> to the development team</t>
    </r>
  </si>
  <si>
    <r>
      <t xml:space="preserve"> 
1.Delivered</t>
    </r>
    <r>
      <rPr>
        <b/>
        <sz val="9"/>
        <color theme="1"/>
        <rFont val="Calibri"/>
        <family val="2"/>
        <scheme val="minor"/>
      </rPr>
      <t xml:space="preserve"> Java Coding Standards</t>
    </r>
    <r>
      <rPr>
        <sz val="9"/>
        <color theme="1"/>
        <rFont val="Calibri"/>
        <family val="2"/>
        <scheme val="minor"/>
      </rPr>
      <t xml:space="preserve"> PowerPoint presentation
 2.Delivered </t>
    </r>
    <r>
      <rPr>
        <b/>
        <sz val="9"/>
        <color theme="1"/>
        <rFont val="Calibri"/>
        <family val="2"/>
        <scheme val="minor"/>
      </rPr>
      <t xml:space="preserve">Coding Standards Guideline </t>
    </r>
    <r>
      <rPr>
        <sz val="9"/>
        <color theme="1"/>
        <rFont val="Calibri"/>
        <family val="2"/>
        <scheme val="minor"/>
      </rPr>
      <t xml:space="preserve">Document for team adoption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</si>
</sst>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9]d\ mmmm\ yyyy;@"/>
    <numFmt numFmtId="165" formatCode="##,##0.0"/>
    <numFmt numFmtId="166" formatCode="0.0"/>
  </numFmts>
  <fonts count="2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b/>
      <sz val="9"/>
      <color rgb="FF000000"/>
      <name val="Calibri"/>
      <scheme val="minor"/>
    </font>
    <font>
      <sz val="9"/>
      <color rgb="FF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BFFE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top"/>
      <protection locked="0"/>
    </xf>
    <xf numFmtId="0" fontId="3" fillId="0" borderId="0" xfId="0" applyFont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5" fillId="0" borderId="0" xfId="0" applyFont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 applyProtection="1">
      <alignment horizontal="left" vertical="center" wrapText="1"/>
      <protection locked="0"/>
    </xf>
    <xf numFmtId="164" fontId="1" fillId="0" borderId="1" xfId="0" applyNumberFormat="1" applyFont="1" applyBorder="1" applyAlignment="1" applyProtection="1">
      <alignment vertical="center"/>
      <protection locked="0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 applyProtection="1">
      <alignment vertical="center"/>
      <protection locked="0"/>
    </xf>
    <xf numFmtId="0" fontId="1" fillId="5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vertical="top"/>
      <protection locked="0"/>
    </xf>
    <xf numFmtId="0" fontId="1" fillId="5" borderId="1" xfId="0" applyFont="1" applyFill="1" applyBorder="1" applyAlignment="1">
      <alignment vertical="center" wrapText="1"/>
    </xf>
    <xf numFmtId="0" fontId="12" fillId="6" borderId="1" xfId="0" applyFont="1" applyFill="1" applyBorder="1" applyAlignment="1" applyProtection="1">
      <alignment horizontal="left" vertical="center" wrapText="1"/>
      <protection locked="0"/>
    </xf>
    <xf numFmtId="0" fontId="11" fillId="6" borderId="1" xfId="0" applyFont="1" applyFill="1" applyBorder="1" applyAlignment="1" applyProtection="1">
      <alignment horizontal="left" vertical="top" wrapText="1"/>
      <protection locked="0"/>
    </xf>
    <xf numFmtId="0" fontId="13" fillId="4" borderId="1" xfId="0" applyFont="1" applyFill="1" applyBorder="1" applyAlignment="1" applyProtection="1">
      <alignment horizontal="left" vertical="center" wrapText="1"/>
      <protection locked="0"/>
    </xf>
    <xf numFmtId="0" fontId="11" fillId="4" borderId="1" xfId="0" applyFont="1" applyFill="1" applyBorder="1" applyAlignment="1" applyProtection="1">
      <alignment horizontal="left" vertical="center" wrapText="1"/>
      <protection locked="0"/>
    </xf>
    <xf numFmtId="0" fontId="13" fillId="0" borderId="1" xfId="0" applyFont="1" applyBorder="1" applyAlignment="1" applyProtection="1">
      <alignment horizontal="left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vertical="center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vertical="center"/>
    </xf>
    <xf numFmtId="0" fontId="9" fillId="0" borderId="0" xfId="0" applyFont="1" applyAlignment="1" applyProtection="1">
      <alignment horizontal="right" vertical="center"/>
      <protection locked="0"/>
    </xf>
    <xf numFmtId="0" fontId="14" fillId="4" borderId="1" xfId="0" applyFont="1" applyFill="1" applyBorder="1" applyAlignment="1" applyProtection="1">
      <alignment horizontal="left" vertical="center" wrapText="1"/>
      <protection locked="0"/>
    </xf>
    <xf numFmtId="0" fontId="14" fillId="0" borderId="1" xfId="0" applyFont="1" applyBorder="1" applyAlignment="1" applyProtection="1">
      <alignment horizontal="left" vertical="center" wrapText="1"/>
      <protection locked="0"/>
    </xf>
    <xf numFmtId="0" fontId="15" fillId="0" borderId="0" xfId="0" applyFont="1" applyAlignment="1" applyProtection="1">
      <alignment vertical="center"/>
      <protection locked="0"/>
    </xf>
    <xf numFmtId="0" fontId="9" fillId="7" borderId="2" xfId="0" applyFont="1" applyFill="1" applyBorder="1" applyAlignment="1">
      <alignment vertical="center"/>
    </xf>
    <xf numFmtId="0" fontId="9" fillId="7" borderId="3" xfId="0" applyFont="1" applyFill="1" applyBorder="1" applyAlignment="1" applyProtection="1">
      <alignment vertical="center"/>
      <protection locked="0"/>
    </xf>
    <xf numFmtId="0" fontId="9" fillId="7" borderId="4" xfId="0" applyFont="1" applyFill="1" applyBorder="1" applyAlignment="1" applyProtection="1">
      <alignment vertical="center"/>
      <protection locked="0"/>
    </xf>
    <xf numFmtId="0" fontId="9" fillId="0" borderId="1" xfId="0" applyFont="1" applyBorder="1" applyAlignment="1">
      <alignment vertical="center"/>
    </xf>
    <xf numFmtId="0" fontId="16" fillId="5" borderId="0" xfId="0" applyFont="1" applyFill="1" applyAlignment="1">
      <alignment vertical="center"/>
    </xf>
    <xf numFmtId="0" fontId="16" fillId="5" borderId="0" xfId="0" applyFont="1" applyFill="1" applyAlignment="1" applyProtection="1">
      <alignment vertical="center"/>
      <protection locked="0"/>
    </xf>
    <xf numFmtId="0" fontId="17" fillId="5" borderId="0" xfId="0" applyFont="1" applyFill="1" applyAlignment="1" applyProtection="1">
      <alignment vertical="center"/>
      <protection locked="0"/>
    </xf>
    <xf numFmtId="0" fontId="16" fillId="5" borderId="0" xfId="0" applyFont="1" applyFill="1" applyAlignment="1" applyProtection="1">
      <alignment horizontal="right" vertical="center"/>
      <protection locked="0"/>
    </xf>
    <xf numFmtId="0" fontId="18" fillId="6" borderId="1" xfId="0" applyFont="1" applyFill="1" applyBorder="1" applyAlignment="1">
      <alignment vertical="center"/>
    </xf>
    <xf numFmtId="2" fontId="12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8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165" fontId="11" fillId="8" borderId="1" xfId="0" applyNumberFormat="1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9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9" borderId="1" xfId="0" applyFont="1" applyFill="1" applyBorder="1" applyAlignment="1">
      <alignment vertical="center" wrapText="1"/>
    </xf>
    <xf numFmtId="0" fontId="18" fillId="7" borderId="1" xfId="0" applyFont="1" applyFill="1" applyBorder="1" applyAlignment="1" applyProtection="1">
      <alignment horizontal="left" vertical="center" wrapText="1"/>
      <protection locked="0"/>
    </xf>
    <xf numFmtId="0" fontId="22" fillId="0" borderId="1" xfId="0" applyFont="1" applyBorder="1" applyAlignment="1" applyProtection="1">
      <alignment horizontal="left" vertical="center" wrapText="1"/>
      <protection locked="0"/>
    </xf>
    <xf numFmtId="1" fontId="22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6" fillId="5" borderId="0" xfId="0" applyFont="1" applyFill="1" applyAlignment="1" applyProtection="1">
      <alignment vertical="center"/>
      <protection locked="0"/>
    </xf>
    <xf numFmtId="0" fontId="7" fillId="5" borderId="0" xfId="0" applyFont="1" applyFill="1" applyAlignment="1" applyProtection="1">
      <alignment vertical="center"/>
      <protection locked="0"/>
    </xf>
    <xf numFmtId="0" fontId="6" fillId="5" borderId="0" xfId="0" applyFont="1" applyFill="1" applyAlignment="1" applyProtection="1">
      <alignment horizontal="right" vertical="center"/>
      <protection locked="0"/>
    </xf>
    <xf numFmtId="0" fontId="9" fillId="9" borderId="1" xfId="0" applyFont="1" applyFill="1" applyBorder="1" applyAlignment="1">
      <alignment vertical="center" wrapText="1"/>
    </xf>
    <xf numFmtId="2" fontId="12" fillId="10" borderId="1" xfId="0" applyNumberFormat="1" applyFont="1" applyFill="1" applyBorder="1" applyAlignment="1">
      <alignment horizontal="center" vertical="center" wrapText="1"/>
    </xf>
    <xf numFmtId="1" fontId="23" fillId="0" borderId="0" xfId="0" applyNumberFormat="1" applyFont="1" applyAlignment="1">
      <alignment horizontal="center" vertical="center"/>
    </xf>
    <xf numFmtId="0" fontId="17" fillId="5" borderId="0" xfId="0" applyFont="1" applyFill="1" applyAlignment="1">
      <alignment vertical="center"/>
    </xf>
    <xf numFmtId="0" fontId="5" fillId="5" borderId="0" xfId="0" applyFont="1" applyFill="1" applyAlignment="1" applyProtection="1">
      <alignment horizontal="left" vertical="top"/>
      <protection locked="0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5" fillId="0" borderId="0" xfId="0" applyFont="1" applyAlignment="1" applyProtection="1">
      <alignment horizontal="left" vertical="top"/>
      <protection locked="0"/>
    </xf>
    <xf numFmtId="9" fontId="13" fillId="0" borderId="1" xfId="0" applyNumberFormat="1" applyFont="1" applyBorder="1" applyAlignment="1">
      <alignment horizontal="center" vertical="center"/>
    </xf>
    <xf numFmtId="0" fontId="18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2" fontId="20" fillId="0" borderId="1" xfId="0" applyNumberFormat="1" applyFont="1" applyBorder="1" applyAlignment="1">
      <alignment horizontal="center" vertical="center"/>
    </xf>
    <xf numFmtId="165" fontId="20" fillId="2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166" fontId="9" fillId="0" borderId="0" xfId="0" applyNumberFormat="1" applyFont="1" applyAlignment="1" applyProtection="1">
      <alignment horizontal="center" vertical="center"/>
      <protection locked="0"/>
    </xf>
    <xf numFmtId="0" fontId="24" fillId="0" borderId="0" xfId="0" applyFont="1" applyAlignment="1">
      <alignment horizontal="center" vertical="center"/>
    </xf>
    <xf numFmtId="0" fontId="24" fillId="0" borderId="0" xfId="0" applyFont="1" applyAlignment="1" applyProtection="1">
      <alignment vertical="center"/>
      <protection locked="0"/>
    </xf>
    <xf numFmtId="0" fontId="25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12" fillId="6" borderId="1" xfId="0" applyFont="1" applyFill="1" applyBorder="1" applyAlignment="1" applyProtection="1">
      <alignment horizontal="left" vertical="top" wrapText="1"/>
      <protection locked="0"/>
    </xf>
    <xf numFmtId="0" fontId="13" fillId="4" borderId="1" xfId="0" applyFont="1" applyFill="1" applyBorder="1" applyAlignment="1" applyProtection="1">
      <alignment horizontal="left" vertical="top" wrapText="1"/>
      <protection locked="0"/>
    </xf>
    <xf numFmtId="0" fontId="27" fillId="4" borderId="1" xfId="0" applyFont="1" applyFill="1" applyBorder="1" applyAlignment="1" applyProtection="1">
      <alignment horizontal="left" vertical="center" wrapText="1"/>
      <protection locked="0"/>
    </xf>
    <xf numFmtId="0" fontId="1" fillId="0" borderId="2" xfId="0" applyFont="1" applyBorder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2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84300" cy="590550"/>
    <xdr:pic>
      <xdr:nvPicPr>
        <xdr:cNvPr id="2" name="Picture 1">
          <a:extLst>
            <a:ext uri="{FF2B5EF4-FFF2-40B4-BE49-F238E27FC236}">
              <a16:creationId xmlns:a16="http://schemas.microsoft.com/office/drawing/2014/main" id="{6B242E1F-8945-4BF2-8AB1-0DD0B320653A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2" t="25997" r="12009" b="27438"/>
        <a:stretch/>
      </xdr:blipFill>
      <xdr:spPr bwMode="auto">
        <a:xfrm>
          <a:off x="0" y="0"/>
          <a:ext cx="1384300" cy="5905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 editAs="oneCell">
    <xdr:from>
      <xdr:col>0</xdr:col>
      <xdr:colOff>276225</xdr:colOff>
      <xdr:row>73</xdr:row>
      <xdr:rowOff>57150</xdr:rowOff>
    </xdr:from>
    <xdr:to>
      <xdr:col>0</xdr:col>
      <xdr:colOff>838278</xdr:colOff>
      <xdr:row>73</xdr:row>
      <xdr:rowOff>704940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CF1AD6-4CD0-4B23-8D03-187E781B0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6222325"/>
          <a:ext cx="562053" cy="647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751F7-6FCA-4811-92D3-A093DBFB2901}">
  <sheetPr>
    <tabColor rgb="FF92D050"/>
  </sheetPr>
  <dimension ref="A1:L74"/>
  <sheetViews>
    <sheetView showGridLines="0" tabSelected="1" topLeftCell="A17" zoomScaleNormal="100" workbookViewId="0">
      <selection activeCell="B28" sqref="B28"/>
    </sheetView>
  </sheetViews>
  <sheetFormatPr defaultColWidth="8.88671875" defaultRowHeight="20.100000000000001" customHeight="1" x14ac:dyDescent="0.3"/>
  <cols>
    <col min="1" max="1" width="19.44140625" style="1" customWidth="1"/>
    <col min="2" max="2" width="37.109375" style="1" customWidth="1"/>
    <col min="3" max="3" width="2.5546875" style="1" customWidth="1"/>
    <col min="4" max="4" width="19.44140625" style="1" customWidth="1"/>
    <col min="5" max="5" width="34.88671875" style="1" customWidth="1"/>
    <col min="6" max="6" width="2.44140625" style="1" customWidth="1"/>
    <col min="7" max="7" width="19.5546875" style="1" customWidth="1"/>
    <col min="8" max="8" width="35" style="1" customWidth="1"/>
    <col min="9" max="9" width="4.109375" style="1" customWidth="1"/>
    <col min="10" max="10" width="4.88671875" style="1" customWidth="1"/>
    <col min="11" max="11" width="20.88671875" style="1" customWidth="1"/>
    <col min="12" max="12" width="40.88671875" style="1" customWidth="1"/>
    <col min="13" max="14" width="20.88671875" style="1" customWidth="1"/>
    <col min="15" max="16384" width="8.88671875" style="1"/>
  </cols>
  <sheetData>
    <row r="1" spans="1:12" ht="20.100000000000001" customHeight="1" x14ac:dyDescent="0.3">
      <c r="B1" s="97" t="s">
        <v>0</v>
      </c>
      <c r="C1" s="97"/>
      <c r="D1" s="97"/>
      <c r="E1" s="97"/>
      <c r="F1" s="97"/>
      <c r="G1" s="97"/>
      <c r="H1" s="2"/>
      <c r="J1" s="3"/>
    </row>
    <row r="2" spans="1:12" ht="20.100000000000001" customHeight="1" x14ac:dyDescent="0.3">
      <c r="C2" s="4"/>
      <c r="D2" s="4"/>
      <c r="E2" s="4"/>
      <c r="G2" s="5"/>
      <c r="H2" s="6" t="s">
        <v>1</v>
      </c>
    </row>
    <row r="3" spans="1:12" ht="10.35" customHeight="1" x14ac:dyDescent="0.3">
      <c r="C3" s="7"/>
      <c r="D3" s="7"/>
      <c r="E3" s="7"/>
    </row>
    <row r="4" spans="1:12" s="10" customFormat="1" ht="20.100000000000001" customHeight="1" x14ac:dyDescent="0.3">
      <c r="A4" s="8" t="s">
        <v>2</v>
      </c>
      <c r="B4" s="9"/>
      <c r="G4" s="8" t="s">
        <v>3</v>
      </c>
      <c r="H4" s="11" t="s">
        <v>4</v>
      </c>
      <c r="J4" s="12" t="s">
        <v>5</v>
      </c>
      <c r="K4" s="13"/>
      <c r="L4" s="13"/>
    </row>
    <row r="5" spans="1:12" ht="20.100000000000001" customHeight="1" x14ac:dyDescent="0.3">
      <c r="A5" s="14" t="s">
        <v>6</v>
      </c>
      <c r="B5" s="15" t="s">
        <v>7</v>
      </c>
      <c r="D5" s="14" t="s">
        <v>8</v>
      </c>
      <c r="E5" s="15"/>
      <c r="G5" s="14" t="s">
        <v>9</v>
      </c>
      <c r="H5" s="16"/>
      <c r="J5" s="17">
        <v>1</v>
      </c>
      <c r="K5" s="18" t="s">
        <v>10</v>
      </c>
      <c r="L5" s="19" t="s">
        <v>11</v>
      </c>
    </row>
    <row r="6" spans="1:12" ht="20.100000000000001" customHeight="1" x14ac:dyDescent="0.3">
      <c r="A6" s="14" t="s">
        <v>12</v>
      </c>
      <c r="B6" s="15" t="s">
        <v>13</v>
      </c>
      <c r="D6" s="14" t="s">
        <v>12</v>
      </c>
      <c r="E6" s="15"/>
      <c r="G6" s="14" t="s">
        <v>14</v>
      </c>
      <c r="H6" s="16"/>
      <c r="J6" s="17">
        <v>2</v>
      </c>
      <c r="K6" s="18" t="s">
        <v>15</v>
      </c>
      <c r="L6" s="19" t="s">
        <v>16</v>
      </c>
    </row>
    <row r="7" spans="1:12" ht="20.100000000000001" customHeight="1" x14ac:dyDescent="0.3">
      <c r="A7" s="14" t="s">
        <v>17</v>
      </c>
      <c r="B7" s="15">
        <v>7</v>
      </c>
      <c r="D7" s="14" t="s">
        <v>17</v>
      </c>
      <c r="E7" s="15"/>
      <c r="G7" s="14" t="s">
        <v>18</v>
      </c>
      <c r="H7" s="16"/>
      <c r="J7" s="17">
        <v>3</v>
      </c>
      <c r="K7" s="18" t="s">
        <v>19</v>
      </c>
      <c r="L7" s="19" t="s">
        <v>20</v>
      </c>
    </row>
    <row r="8" spans="1:12" ht="20.100000000000001" customHeight="1" x14ac:dyDescent="0.3">
      <c r="A8" s="14" t="s">
        <v>21</v>
      </c>
      <c r="B8" s="15" t="s">
        <v>22</v>
      </c>
      <c r="D8" s="14" t="s">
        <v>21</v>
      </c>
      <c r="E8" s="15"/>
      <c r="G8" s="14" t="s">
        <v>23</v>
      </c>
      <c r="H8" s="16"/>
      <c r="J8" s="17">
        <v>4</v>
      </c>
      <c r="K8" s="18" t="s">
        <v>24</v>
      </c>
      <c r="L8" s="19" t="s">
        <v>25</v>
      </c>
    </row>
    <row r="9" spans="1:12" ht="20.100000000000001" customHeight="1" x14ac:dyDescent="0.3">
      <c r="A9" s="14" t="s">
        <v>26</v>
      </c>
      <c r="B9" s="15" t="s">
        <v>27</v>
      </c>
      <c r="D9" s="14" t="s">
        <v>26</v>
      </c>
      <c r="E9" s="15"/>
      <c r="G9" s="14" t="s">
        <v>28</v>
      </c>
      <c r="H9" s="16"/>
      <c r="J9" s="17">
        <v>5</v>
      </c>
      <c r="K9" s="18" t="s">
        <v>29</v>
      </c>
      <c r="L9" s="19" t="s">
        <v>30</v>
      </c>
    </row>
    <row r="10" spans="1:12" ht="20.100000000000001" customHeight="1" x14ac:dyDescent="0.3">
      <c r="A10" s="14" t="s">
        <v>31</v>
      </c>
      <c r="B10" s="15" t="s">
        <v>32</v>
      </c>
      <c r="D10" s="14" t="s">
        <v>31</v>
      </c>
      <c r="E10" s="15"/>
      <c r="G10" s="14" t="s">
        <v>33</v>
      </c>
      <c r="H10" s="16"/>
    </row>
    <row r="11" spans="1:12" ht="10.35" customHeight="1" x14ac:dyDescent="0.3">
      <c r="A11" s="20"/>
      <c r="C11" s="7"/>
      <c r="D11" s="21"/>
      <c r="E11" s="7"/>
      <c r="G11" s="20"/>
    </row>
    <row r="12" spans="1:12" s="10" customFormat="1" ht="20.100000000000001" customHeight="1" x14ac:dyDescent="0.3">
      <c r="A12" s="8" t="s">
        <v>34</v>
      </c>
      <c r="B12" s="9"/>
      <c r="D12" s="22"/>
      <c r="G12" s="23"/>
      <c r="H12" s="11"/>
      <c r="J12" s="24"/>
      <c r="K12" s="24"/>
      <c r="L12" s="24"/>
    </row>
    <row r="13" spans="1:12" s="27" customFormat="1" ht="30.6" x14ac:dyDescent="0.3">
      <c r="A13" s="25" t="s">
        <v>35</v>
      </c>
      <c r="B13" s="26" t="s">
        <v>36</v>
      </c>
      <c r="D13" s="28" t="s">
        <v>35</v>
      </c>
      <c r="E13" s="29" t="s">
        <v>37</v>
      </c>
      <c r="G13" s="25" t="s">
        <v>35</v>
      </c>
      <c r="H13" s="30"/>
    </row>
    <row r="14" spans="1:12" s="27" customFormat="1" ht="96" x14ac:dyDescent="0.3">
      <c r="A14" s="25" t="s">
        <v>38</v>
      </c>
      <c r="B14" s="90" t="s">
        <v>39</v>
      </c>
      <c r="D14" s="28" t="s">
        <v>38</v>
      </c>
      <c r="E14" s="29" t="s">
        <v>40</v>
      </c>
      <c r="G14" s="25" t="s">
        <v>38</v>
      </c>
      <c r="H14" s="26"/>
    </row>
    <row r="15" spans="1:12" s="27" customFormat="1" ht="24" x14ac:dyDescent="0.3">
      <c r="A15" s="25" t="s">
        <v>41</v>
      </c>
      <c r="B15" s="91"/>
      <c r="D15" s="28" t="s">
        <v>41</v>
      </c>
      <c r="E15" s="31" t="s">
        <v>42</v>
      </c>
      <c r="G15" s="25" t="s">
        <v>41</v>
      </c>
      <c r="H15" s="32"/>
    </row>
    <row r="16" spans="1:12" s="27" customFormat="1" ht="204" x14ac:dyDescent="0.3">
      <c r="A16" s="25" t="s">
        <v>43</v>
      </c>
      <c r="B16" s="92" t="s">
        <v>44</v>
      </c>
      <c r="D16" s="28" t="s">
        <v>43</v>
      </c>
      <c r="E16" s="92" t="s">
        <v>86</v>
      </c>
      <c r="G16" s="25" t="s">
        <v>43</v>
      </c>
      <c r="H16" s="31"/>
    </row>
    <row r="17" spans="1:12" s="27" customFormat="1" ht="12" x14ac:dyDescent="0.3">
      <c r="A17" s="25" t="s">
        <v>45</v>
      </c>
      <c r="B17" s="33"/>
      <c r="D17" s="28" t="s">
        <v>45</v>
      </c>
      <c r="E17" s="33"/>
      <c r="G17" s="25" t="s">
        <v>45</v>
      </c>
      <c r="H17" s="33"/>
    </row>
    <row r="18" spans="1:12" s="27" customFormat="1" ht="12" x14ac:dyDescent="0.3">
      <c r="A18" s="25" t="s">
        <v>46</v>
      </c>
      <c r="B18" s="33"/>
      <c r="D18" s="28" t="s">
        <v>46</v>
      </c>
      <c r="E18" s="33"/>
      <c r="G18" s="25" t="s">
        <v>46</v>
      </c>
      <c r="H18" s="33"/>
    </row>
    <row r="19" spans="1:12" s="27" customFormat="1" ht="30.6" x14ac:dyDescent="0.3">
      <c r="A19" s="25" t="s">
        <v>47</v>
      </c>
      <c r="B19" s="34"/>
      <c r="C19" s="1"/>
      <c r="D19" s="25" t="s">
        <v>47</v>
      </c>
      <c r="E19" s="34"/>
      <c r="F19" s="1"/>
      <c r="G19" s="25" t="s">
        <v>47</v>
      </c>
      <c r="H19" s="34"/>
    </row>
    <row r="20" spans="1:12" s="27" customFormat="1" ht="30.6" x14ac:dyDescent="0.3">
      <c r="A20" s="25" t="s">
        <v>48</v>
      </c>
      <c r="B20" s="34"/>
      <c r="C20" s="1"/>
      <c r="D20" s="25" t="s">
        <v>48</v>
      </c>
      <c r="E20" s="34"/>
      <c r="F20" s="1"/>
      <c r="G20" s="25" t="s">
        <v>48</v>
      </c>
      <c r="H20" s="34"/>
    </row>
    <row r="21" spans="1:12" s="27" customFormat="1" ht="30.6" x14ac:dyDescent="0.3">
      <c r="A21" s="25" t="s">
        <v>49</v>
      </c>
      <c r="B21" s="34"/>
      <c r="C21" s="1"/>
      <c r="D21" s="25" t="s">
        <v>49</v>
      </c>
      <c r="E21" s="34"/>
      <c r="F21" s="1"/>
      <c r="G21" s="25" t="s">
        <v>49</v>
      </c>
      <c r="H21" s="34"/>
    </row>
    <row r="22" spans="1:12" s="27" customFormat="1" ht="30.6" x14ac:dyDescent="0.3">
      <c r="A22" s="25" t="s">
        <v>50</v>
      </c>
      <c r="B22" s="34"/>
      <c r="C22" s="1"/>
      <c r="D22" s="25" t="s">
        <v>50</v>
      </c>
      <c r="E22" s="34"/>
      <c r="F22" s="1"/>
      <c r="G22" s="25" t="s">
        <v>50</v>
      </c>
      <c r="H22" s="34"/>
    </row>
    <row r="23" spans="1:12" ht="20.100000000000001" customHeight="1" x14ac:dyDescent="0.3">
      <c r="A23" s="35"/>
      <c r="B23" s="36"/>
      <c r="D23" s="20"/>
      <c r="G23" s="37"/>
      <c r="H23" s="38"/>
    </row>
    <row r="24" spans="1:12" s="27" customFormat="1" ht="43.5" customHeight="1" x14ac:dyDescent="0.3">
      <c r="A24" s="25" t="s">
        <v>35</v>
      </c>
      <c r="B24" s="26" t="s">
        <v>87</v>
      </c>
      <c r="D24" s="25" t="s">
        <v>35</v>
      </c>
      <c r="E24" s="26"/>
      <c r="G24" s="25" t="s">
        <v>35</v>
      </c>
      <c r="H24" s="29"/>
      <c r="J24" s="1"/>
      <c r="K24" s="1"/>
      <c r="L24" s="1"/>
    </row>
    <row r="25" spans="1:12" s="27" customFormat="1" ht="96" x14ac:dyDescent="0.3">
      <c r="A25" s="25" t="s">
        <v>38</v>
      </c>
      <c r="B25" s="26" t="s">
        <v>89</v>
      </c>
      <c r="D25" s="25" t="s">
        <v>38</v>
      </c>
      <c r="E25" s="26"/>
      <c r="G25" s="25" t="s">
        <v>38</v>
      </c>
      <c r="H25" s="26"/>
      <c r="J25" s="1"/>
      <c r="K25" s="1"/>
      <c r="L25" s="1"/>
    </row>
    <row r="26" spans="1:12" s="27" customFormat="1" ht="43.5" customHeight="1" x14ac:dyDescent="0.3">
      <c r="A26" s="25" t="s">
        <v>41</v>
      </c>
      <c r="B26" s="31" t="s">
        <v>88</v>
      </c>
      <c r="D26" s="25" t="s">
        <v>41</v>
      </c>
      <c r="E26" s="31"/>
      <c r="G26" s="25" t="s">
        <v>41</v>
      </c>
      <c r="H26" s="31"/>
      <c r="J26" s="1"/>
      <c r="K26" s="1"/>
      <c r="L26" s="1"/>
    </row>
    <row r="27" spans="1:12" s="27" customFormat="1" ht="72" x14ac:dyDescent="0.3">
      <c r="A27" s="25" t="s">
        <v>43</v>
      </c>
      <c r="B27" s="39" t="s">
        <v>90</v>
      </c>
      <c r="D27" s="25" t="s">
        <v>43</v>
      </c>
      <c r="E27" s="33"/>
      <c r="G27" s="25" t="s">
        <v>43</v>
      </c>
      <c r="H27" s="33"/>
      <c r="J27" s="1"/>
      <c r="K27" s="1"/>
      <c r="L27" s="1"/>
    </row>
    <row r="28" spans="1:12" s="27" customFormat="1" ht="43.5" customHeight="1" x14ac:dyDescent="0.3">
      <c r="A28" s="25" t="s">
        <v>45</v>
      </c>
      <c r="B28" s="33"/>
      <c r="D28" s="25" t="s">
        <v>45</v>
      </c>
      <c r="E28" s="40"/>
      <c r="G28" s="25" t="s">
        <v>45</v>
      </c>
      <c r="H28" s="33"/>
      <c r="J28" s="1"/>
      <c r="K28" s="1"/>
      <c r="L28" s="1"/>
    </row>
    <row r="29" spans="1:12" s="27" customFormat="1" ht="43.5" customHeight="1" x14ac:dyDescent="0.3">
      <c r="A29" s="25" t="s">
        <v>46</v>
      </c>
      <c r="B29" s="40"/>
      <c r="D29" s="25" t="s">
        <v>46</v>
      </c>
      <c r="E29" s="33"/>
      <c r="G29" s="25" t="s">
        <v>46</v>
      </c>
      <c r="H29" s="33"/>
      <c r="J29" s="1"/>
      <c r="K29" s="1"/>
      <c r="L29" s="1"/>
    </row>
    <row r="30" spans="1:12" s="27" customFormat="1" ht="38.4" customHeight="1" x14ac:dyDescent="0.3">
      <c r="A30" s="25" t="s">
        <v>47</v>
      </c>
      <c r="B30" s="34"/>
      <c r="D30" s="25" t="s">
        <v>47</v>
      </c>
      <c r="E30" s="34"/>
      <c r="G30" s="25" t="s">
        <v>47</v>
      </c>
      <c r="H30" s="34"/>
      <c r="J30" s="1"/>
      <c r="K30" s="1"/>
      <c r="L30" s="1"/>
    </row>
    <row r="31" spans="1:12" s="27" customFormat="1" ht="37.65" customHeight="1" x14ac:dyDescent="0.3">
      <c r="A31" s="25" t="s">
        <v>48</v>
      </c>
      <c r="B31" s="34"/>
      <c r="D31" s="25" t="s">
        <v>48</v>
      </c>
      <c r="E31" s="34"/>
      <c r="G31" s="25" t="s">
        <v>48</v>
      </c>
      <c r="H31" s="34"/>
      <c r="J31" s="1"/>
      <c r="K31" s="1"/>
      <c r="L31" s="1"/>
    </row>
    <row r="32" spans="1:12" s="27" customFormat="1" ht="38.4" customHeight="1" x14ac:dyDescent="0.3">
      <c r="A32" s="25" t="s">
        <v>49</v>
      </c>
      <c r="B32" s="34"/>
      <c r="D32" s="25" t="s">
        <v>49</v>
      </c>
      <c r="E32" s="34"/>
      <c r="G32" s="25" t="s">
        <v>49</v>
      </c>
      <c r="H32" s="34"/>
      <c r="J32" s="1"/>
      <c r="K32" s="1"/>
      <c r="L32" s="1"/>
    </row>
    <row r="33" spans="1:12" s="27" customFormat="1" ht="36.6" customHeight="1" x14ac:dyDescent="0.3">
      <c r="A33" s="25" t="s">
        <v>50</v>
      </c>
      <c r="B33" s="34"/>
      <c r="D33" s="25" t="s">
        <v>50</v>
      </c>
      <c r="E33" s="34"/>
      <c r="G33" s="25" t="s">
        <v>50</v>
      </c>
      <c r="H33" s="34"/>
      <c r="J33" s="1"/>
      <c r="K33" s="1"/>
      <c r="L33" s="1"/>
    </row>
    <row r="34" spans="1:12" ht="15" customHeight="1" x14ac:dyDescent="0.3">
      <c r="A34" s="20"/>
      <c r="C34" s="7"/>
      <c r="D34" s="7"/>
      <c r="E34" s="7"/>
    </row>
    <row r="35" spans="1:12" s="10" customFormat="1" ht="20.100000000000001" customHeight="1" x14ac:dyDescent="0.3">
      <c r="A35" s="8" t="s">
        <v>51</v>
      </c>
      <c r="B35" s="9"/>
      <c r="G35" s="9"/>
      <c r="H35" s="11"/>
      <c r="J35" s="41"/>
      <c r="K35" s="41"/>
      <c r="L35" s="41"/>
    </row>
    <row r="36" spans="1:12" ht="20.100000000000001" customHeight="1" x14ac:dyDescent="0.3">
      <c r="A36" s="42" t="s">
        <v>52</v>
      </c>
      <c r="B36" s="43"/>
      <c r="C36" s="43"/>
      <c r="D36" s="43"/>
      <c r="E36" s="43"/>
      <c r="F36" s="43"/>
      <c r="G36" s="43"/>
      <c r="H36" s="44"/>
    </row>
    <row r="37" spans="1:12" ht="27.6" customHeight="1" x14ac:dyDescent="0.3">
      <c r="A37" s="45" t="s">
        <v>53</v>
      </c>
      <c r="B37" s="98"/>
      <c r="C37" s="94"/>
      <c r="D37" s="94"/>
      <c r="E37" s="94"/>
      <c r="F37" s="94"/>
      <c r="G37" s="94"/>
      <c r="H37" s="95"/>
    </row>
    <row r="38" spans="1:12" ht="23.1" customHeight="1" x14ac:dyDescent="0.3">
      <c r="A38" s="45" t="s">
        <v>54</v>
      </c>
      <c r="B38" s="93"/>
      <c r="C38" s="94"/>
      <c r="D38" s="94"/>
      <c r="E38" s="94"/>
      <c r="F38" s="94"/>
      <c r="G38" s="94"/>
      <c r="H38" s="95"/>
    </row>
    <row r="39" spans="1:12" ht="23.1" customHeight="1" x14ac:dyDescent="0.3">
      <c r="A39" s="45" t="s">
        <v>55</v>
      </c>
      <c r="B39" s="93"/>
      <c r="C39" s="94"/>
      <c r="D39" s="94"/>
      <c r="E39" s="94"/>
      <c r="F39" s="94"/>
      <c r="G39" s="94"/>
      <c r="H39" s="95"/>
    </row>
    <row r="40" spans="1:12" ht="23.1" customHeight="1" x14ac:dyDescent="0.3">
      <c r="A40" s="45" t="s">
        <v>56</v>
      </c>
      <c r="B40" s="93"/>
      <c r="C40" s="94"/>
      <c r="D40" s="94"/>
      <c r="E40" s="94"/>
      <c r="F40" s="94"/>
      <c r="G40" s="94"/>
      <c r="H40" s="95"/>
    </row>
    <row r="41" spans="1:12" ht="23.1" customHeight="1" x14ac:dyDescent="0.3">
      <c r="A41" s="42" t="s">
        <v>57</v>
      </c>
      <c r="B41" s="43"/>
      <c r="C41" s="43"/>
      <c r="D41" s="43"/>
      <c r="E41" s="43"/>
      <c r="F41" s="43"/>
      <c r="G41" s="43"/>
      <c r="H41" s="44"/>
    </row>
    <row r="42" spans="1:12" ht="23.1" customHeight="1" x14ac:dyDescent="0.3">
      <c r="A42" s="45" t="s">
        <v>53</v>
      </c>
      <c r="B42" s="93"/>
      <c r="C42" s="94"/>
      <c r="D42" s="94"/>
      <c r="E42" s="94"/>
      <c r="F42" s="94"/>
      <c r="G42" s="94"/>
      <c r="H42" s="95"/>
    </row>
    <row r="43" spans="1:12" ht="23.1" customHeight="1" x14ac:dyDescent="0.3">
      <c r="A43" s="45" t="s">
        <v>54</v>
      </c>
      <c r="B43" s="93"/>
      <c r="C43" s="94"/>
      <c r="D43" s="94"/>
      <c r="E43" s="94"/>
      <c r="F43" s="94"/>
      <c r="G43" s="94"/>
      <c r="H43" s="95"/>
    </row>
    <row r="44" spans="1:12" ht="23.1" customHeight="1" x14ac:dyDescent="0.3">
      <c r="A44" s="45" t="s">
        <v>58</v>
      </c>
      <c r="B44" s="93"/>
      <c r="C44" s="94"/>
      <c r="D44" s="94"/>
      <c r="E44" s="94"/>
      <c r="F44" s="94"/>
      <c r="G44" s="94"/>
      <c r="H44" s="95"/>
    </row>
    <row r="45" spans="1:12" ht="23.1" customHeight="1" x14ac:dyDescent="0.3">
      <c r="A45" s="45" t="s">
        <v>56</v>
      </c>
      <c r="B45" s="93"/>
      <c r="C45" s="94"/>
      <c r="D45" s="94"/>
      <c r="E45" s="94"/>
      <c r="F45" s="94"/>
      <c r="G45" s="94"/>
      <c r="H45" s="95"/>
    </row>
    <row r="46" spans="1:12" ht="10.35" customHeight="1" x14ac:dyDescent="0.3">
      <c r="A46" s="37"/>
      <c r="B46" s="36"/>
      <c r="G46" s="36"/>
      <c r="H46" s="38"/>
    </row>
    <row r="47" spans="1:12" s="10" customFormat="1" ht="20.399999999999999" customHeight="1" x14ac:dyDescent="0.3">
      <c r="A47" s="46" t="s">
        <v>59</v>
      </c>
      <c r="B47" s="47"/>
      <c r="C47" s="48"/>
      <c r="D47" s="48"/>
      <c r="E47" s="48"/>
      <c r="F47" s="48"/>
      <c r="G47" s="47"/>
      <c r="H47" s="49"/>
    </row>
    <row r="48" spans="1:12" ht="20.399999999999999" customHeight="1" x14ac:dyDescent="0.3">
      <c r="A48" s="50" t="s">
        <v>53</v>
      </c>
      <c r="B48" s="51">
        <f>IF($H$48=0,0,($B$19+$E$19+$H$19+$B$30+$E$30+$H$30)/$H$48)</f>
        <v>0</v>
      </c>
      <c r="C48" s="20"/>
      <c r="D48" s="52" t="str">
        <f>IF($B48&gt;=4.5,"Excellent",IF(AND($B48&lt;4.5,$B48&gt;=4),"Above Satisfactory",IF(AND($B48&lt;4,$B48&gt;=3),"Satisfactory",IF(AND($B48&lt;3,$B48&gt;=2),"Below Satisfactory",IF(AND($B48&lt;2,$B48&gt;0),"Poor",IF($B48&lt;=0,"Nil"))))))</f>
        <v>Nil</v>
      </c>
      <c r="E48" s="20"/>
      <c r="F48" s="20"/>
      <c r="G48" s="37"/>
      <c r="H48" s="53">
        <f>COUNT($B$19)+COUNT($E$19)+COUNT($H$19)+COUNT($B$30)+COUNT($E$30)+COUNT($H$30)</f>
        <v>0</v>
      </c>
    </row>
    <row r="49" spans="1:12" ht="20.399999999999999" customHeight="1" x14ac:dyDescent="0.3">
      <c r="A49" s="50" t="s">
        <v>54</v>
      </c>
      <c r="B49" s="51">
        <f>IF($H$49=0,0,(($B$20+$E$20+$H$20+$B$31+$E$31+$H$31)/$H$49))</f>
        <v>0</v>
      </c>
      <c r="C49" s="20"/>
      <c r="D49" s="52" t="str">
        <f t="shared" ref="D49:D52" si="0">IF($B49&gt;=4.5,"Excellent",IF(AND($B49&lt;4.5,$B49&gt;=4),"Above Satisfactory",IF(AND($B49&lt;4,$B49&gt;=3),"Satisfactory",IF(AND($B49&lt;3,$B49&gt;=2),"Below Satisfactory",IF(AND($B49&lt;2,$B49&gt;0),"Poor",IF($B49&lt;=0,"Nil"))))))</f>
        <v>Nil</v>
      </c>
      <c r="E49" s="20"/>
      <c r="F49" s="20"/>
      <c r="G49" s="37"/>
      <c r="H49" s="53">
        <f>COUNT($B$20)+COUNT($E$20)+COUNT($H$20)+COUNT($B$31)+COUNT($E$31)+COUNT($H$31)</f>
        <v>0</v>
      </c>
    </row>
    <row r="50" spans="1:12" ht="20.399999999999999" customHeight="1" x14ac:dyDescent="0.3">
      <c r="A50" s="50" t="s">
        <v>55</v>
      </c>
      <c r="B50" s="51">
        <f>IF($H$50=0,0,(($B$21+$E$21+$H$21+$B$32+$E$32+$H$32)/$H$50))</f>
        <v>0</v>
      </c>
      <c r="C50" s="20"/>
      <c r="D50" s="52" t="str">
        <f t="shared" si="0"/>
        <v>Nil</v>
      </c>
      <c r="E50" s="20"/>
      <c r="F50" s="20"/>
      <c r="G50" s="37"/>
      <c r="H50" s="53">
        <f>COUNT($B$21)+COUNT($E$21)+COUNT($H$21)+COUNT($B$32)+COUNT($E$32)+COUNT($H$32)</f>
        <v>0</v>
      </c>
    </row>
    <row r="51" spans="1:12" ht="20.399999999999999" customHeight="1" x14ac:dyDescent="0.3">
      <c r="A51" s="50" t="s">
        <v>60</v>
      </c>
      <c r="B51" s="51">
        <f>IF($H$51=0,0,(($B$22+$E$22+$H$22+$B$33+$E$33+$H$33)/$H$51))</f>
        <v>0</v>
      </c>
      <c r="C51" s="20"/>
      <c r="D51" s="52" t="str">
        <f t="shared" si="0"/>
        <v>Nil</v>
      </c>
      <c r="E51" s="20"/>
      <c r="F51" s="20"/>
      <c r="G51" s="37"/>
      <c r="H51" s="53">
        <f>COUNT($B$22)+COUNT($E$22)+COUNT($H$22)+COUNT($B$33)+COUNT($E$33)+COUNT($H$33)</f>
        <v>0</v>
      </c>
    </row>
    <row r="52" spans="1:12" ht="20.399999999999999" customHeight="1" x14ac:dyDescent="0.3">
      <c r="A52" s="54" t="s">
        <v>61</v>
      </c>
      <c r="B52" s="55">
        <f>IF($H$52=0,0,IF($B$51=0,0,IF($B$51&gt;0,($B$48+$B$49+$B$50+$B$51)/$H$52)))</f>
        <v>0</v>
      </c>
      <c r="C52" s="56"/>
      <c r="D52" s="57" t="str">
        <f t="shared" si="0"/>
        <v>Nil</v>
      </c>
      <c r="E52" s="20"/>
      <c r="F52" s="20"/>
      <c r="G52" s="37"/>
      <c r="H52" s="53">
        <f>IF($B$48=0,0,1)+IF($B$49=0,0,1)+IF($B$50=0,0,1)+IF($B$51=0,0,1)</f>
        <v>0</v>
      </c>
    </row>
    <row r="53" spans="1:12" ht="20.399999999999999" customHeight="1" x14ac:dyDescent="0.3">
      <c r="A53" s="58"/>
      <c r="B53" s="59"/>
      <c r="G53" s="36"/>
      <c r="H53" s="60"/>
    </row>
    <row r="54" spans="1:12" s="10" customFormat="1" ht="20.100000000000001" customHeight="1" x14ac:dyDescent="0.3">
      <c r="A54" s="8" t="s">
        <v>62</v>
      </c>
      <c r="B54" s="9"/>
      <c r="G54" s="9"/>
      <c r="H54" s="11"/>
    </row>
    <row r="55" spans="1:12" s="27" customFormat="1" ht="38.4" customHeight="1" x14ac:dyDescent="0.3">
      <c r="A55" s="61" t="s">
        <v>63</v>
      </c>
      <c r="B55" s="62" t="s">
        <v>64</v>
      </c>
      <c r="C55" s="1"/>
      <c r="D55" s="61" t="s">
        <v>63</v>
      </c>
      <c r="E55" s="62" t="s">
        <v>65</v>
      </c>
      <c r="F55" s="1"/>
      <c r="G55" s="61" t="s">
        <v>63</v>
      </c>
      <c r="H55" s="62" t="s">
        <v>66</v>
      </c>
      <c r="J55" s="1"/>
      <c r="K55" s="1"/>
      <c r="L55" s="1"/>
    </row>
    <row r="56" spans="1:12" s="27" customFormat="1" ht="33.9" customHeight="1" x14ac:dyDescent="0.3">
      <c r="A56" s="61" t="s">
        <v>67</v>
      </c>
      <c r="B56" s="62" t="s">
        <v>68</v>
      </c>
      <c r="C56" s="1"/>
      <c r="D56" s="61" t="s">
        <v>67</v>
      </c>
      <c r="E56" s="62" t="s">
        <v>69</v>
      </c>
      <c r="F56" s="1"/>
      <c r="G56" s="61" t="s">
        <v>67</v>
      </c>
      <c r="H56" s="62" t="s">
        <v>70</v>
      </c>
      <c r="J56" s="1"/>
      <c r="K56" s="1"/>
      <c r="L56" s="1"/>
    </row>
    <row r="57" spans="1:12" s="27" customFormat="1" ht="33.9" customHeight="1" x14ac:dyDescent="0.3">
      <c r="A57" s="61" t="s">
        <v>71</v>
      </c>
      <c r="B57" s="63"/>
      <c r="C57" s="1"/>
      <c r="D57" s="61" t="s">
        <v>71</v>
      </c>
      <c r="E57" s="63"/>
      <c r="F57" s="1"/>
      <c r="G57" s="61" t="s">
        <v>71</v>
      </c>
      <c r="H57" s="63"/>
      <c r="J57" s="1"/>
      <c r="K57" s="1"/>
      <c r="L57" s="1"/>
    </row>
    <row r="58" spans="1:12" s="27" customFormat="1" ht="33.9" customHeight="1" x14ac:dyDescent="0.3">
      <c r="A58" s="61" t="s">
        <v>72</v>
      </c>
      <c r="B58" s="63"/>
      <c r="C58" s="1"/>
      <c r="D58" s="61" t="s">
        <v>72</v>
      </c>
      <c r="E58" s="63"/>
      <c r="F58" s="1"/>
      <c r="G58" s="61" t="s">
        <v>72</v>
      </c>
      <c r="H58" s="63"/>
      <c r="J58" s="1"/>
      <c r="K58" s="1"/>
      <c r="L58" s="1"/>
    </row>
    <row r="59" spans="1:12" s="27" customFormat="1" ht="33.9" customHeight="1" x14ac:dyDescent="0.3">
      <c r="A59" s="61" t="s">
        <v>73</v>
      </c>
      <c r="B59" s="63"/>
      <c r="C59" s="1"/>
      <c r="D59" s="61" t="s">
        <v>73</v>
      </c>
      <c r="E59" s="63"/>
      <c r="F59" s="1"/>
      <c r="G59" s="61" t="s">
        <v>73</v>
      </c>
      <c r="H59" s="63"/>
      <c r="J59" s="1"/>
      <c r="K59" s="1"/>
      <c r="L59" s="1"/>
    </row>
    <row r="60" spans="1:12" s="27" customFormat="1" ht="33.9" customHeight="1" x14ac:dyDescent="0.3">
      <c r="A60" s="61" t="s">
        <v>74</v>
      </c>
      <c r="B60" s="63"/>
      <c r="C60" s="1"/>
      <c r="D60" s="61" t="s">
        <v>74</v>
      </c>
      <c r="E60" s="63"/>
      <c r="F60" s="1"/>
      <c r="G60" s="61" t="s">
        <v>74</v>
      </c>
      <c r="H60" s="63"/>
      <c r="J60" s="1"/>
      <c r="K60" s="1"/>
      <c r="L60" s="1"/>
    </row>
    <row r="61" spans="1:12" s="27" customFormat="1" ht="33.9" customHeight="1" x14ac:dyDescent="0.3">
      <c r="A61" s="61" t="s">
        <v>75</v>
      </c>
      <c r="B61" s="64"/>
      <c r="C61" s="1"/>
      <c r="D61" s="61" t="s">
        <v>75</v>
      </c>
      <c r="E61" s="64"/>
      <c r="F61" s="1"/>
      <c r="G61" s="61" t="s">
        <v>75</v>
      </c>
      <c r="H61" s="64"/>
      <c r="J61" s="1"/>
      <c r="K61" s="1"/>
      <c r="L61" s="1"/>
    </row>
    <row r="62" spans="1:12" ht="10.35" customHeight="1" x14ac:dyDescent="0.3">
      <c r="A62" s="20"/>
      <c r="C62" s="65"/>
      <c r="D62" s="65"/>
      <c r="E62" s="65"/>
    </row>
    <row r="63" spans="1:12" s="10" customFormat="1" ht="24.6" customHeight="1" x14ac:dyDescent="0.3">
      <c r="A63" s="46" t="s">
        <v>76</v>
      </c>
      <c r="B63" s="66"/>
      <c r="C63" s="67"/>
      <c r="D63" s="67"/>
      <c r="E63" s="67"/>
      <c r="F63" s="67"/>
      <c r="G63" s="66"/>
      <c r="H63" s="68"/>
    </row>
    <row r="64" spans="1:12" ht="37.65" customHeight="1" x14ac:dyDescent="0.3">
      <c r="A64" s="69" t="s">
        <v>77</v>
      </c>
      <c r="B64" s="70">
        <f>IF($H$64=0,0,($B$61+$E$61+$H$61)/$H$64)</f>
        <v>0</v>
      </c>
      <c r="D64" s="96"/>
      <c r="E64" s="96"/>
      <c r="H64" s="71">
        <f>COUNT($B$61)+COUNT($E$61)+COUNT($H$61)</f>
        <v>0</v>
      </c>
    </row>
    <row r="65" spans="1:12" ht="16.649999999999999" customHeight="1" x14ac:dyDescent="0.3">
      <c r="A65" s="20"/>
      <c r="B65" s="20"/>
      <c r="C65" s="7"/>
      <c r="D65" s="7"/>
      <c r="E65" s="7"/>
    </row>
    <row r="66" spans="1:12" s="10" customFormat="1" ht="22.65" customHeight="1" x14ac:dyDescent="0.3">
      <c r="A66" s="46" t="s">
        <v>78</v>
      </c>
      <c r="B66" s="72"/>
      <c r="C66" s="73"/>
      <c r="D66" s="73"/>
      <c r="E66" s="73"/>
      <c r="F66" s="67"/>
      <c r="G66" s="67"/>
      <c r="H66" s="67"/>
    </row>
    <row r="67" spans="1:12" s="10" customFormat="1" ht="9" customHeight="1" x14ac:dyDescent="0.3">
      <c r="A67" s="74"/>
      <c r="B67" s="75"/>
      <c r="C67" s="76"/>
      <c r="D67" s="76"/>
      <c r="E67" s="76"/>
    </row>
    <row r="68" spans="1:12" s="10" customFormat="1" ht="36.6" customHeight="1" x14ac:dyDescent="0.3">
      <c r="A68" s="50" t="s">
        <v>79</v>
      </c>
      <c r="B68" s="77">
        <v>0.95</v>
      </c>
      <c r="C68" s="76"/>
      <c r="D68" s="78" t="s">
        <v>80</v>
      </c>
      <c r="E68" s="77">
        <v>0.05</v>
      </c>
    </row>
    <row r="69" spans="1:12" s="10" customFormat="1" ht="12" customHeight="1" x14ac:dyDescent="0.3">
      <c r="A69" s="74"/>
      <c r="B69" s="75"/>
      <c r="C69" s="76"/>
      <c r="D69" s="76"/>
      <c r="E69" s="76"/>
    </row>
    <row r="70" spans="1:12" ht="37.65" customHeight="1" x14ac:dyDescent="0.3">
      <c r="A70" s="79" t="s">
        <v>81</v>
      </c>
      <c r="B70" s="80">
        <f>($B$68*$B$52)+($E$68*$B$64)</f>
        <v>0</v>
      </c>
      <c r="G70" s="36"/>
      <c r="H70" s="38"/>
    </row>
    <row r="71" spans="1:12" ht="40.65" customHeight="1" x14ac:dyDescent="0.3">
      <c r="A71" s="79" t="s">
        <v>82</v>
      </c>
      <c r="B71" s="81" t="str">
        <f>IF($B$70&gt;=4.5,"Excellent",IF(AND($B$70&lt;4.5,$B$70&gt;=4),"Above Satisfactory",IF(AND($B$70&lt;4,$B$70&gt;=3),"Satisfactory",IF(AND($B$70&lt;3,$B$70&gt;=2),"Below Satisfactory",IF(AND($B$70&lt;2,$B$70&gt;0),"Poor",IF($B$70&lt;=0,"Nil"))))))</f>
        <v>Nil</v>
      </c>
      <c r="G71" s="36"/>
      <c r="H71" s="38"/>
    </row>
    <row r="72" spans="1:12" ht="24" customHeight="1" x14ac:dyDescent="0.3">
      <c r="A72" s="82"/>
      <c r="B72" s="83"/>
      <c r="G72" s="36"/>
      <c r="H72" s="38"/>
    </row>
    <row r="73" spans="1:12" s="85" customFormat="1" ht="25.65" customHeight="1" x14ac:dyDescent="0.3">
      <c r="A73" s="84" t="s">
        <v>83</v>
      </c>
      <c r="D73" s="86" t="s">
        <v>84</v>
      </c>
      <c r="E73" s="87"/>
      <c r="F73" s="87"/>
      <c r="G73" s="88" t="s">
        <v>85</v>
      </c>
      <c r="J73" s="89"/>
      <c r="K73" s="89"/>
      <c r="L73" s="89"/>
    </row>
    <row r="74" spans="1:12" ht="57" customHeight="1" x14ac:dyDescent="0.3">
      <c r="A74" s="36"/>
      <c r="B74" s="36"/>
      <c r="G74" s="36"/>
      <c r="H74" s="38"/>
    </row>
  </sheetData>
  <sheetProtection algorithmName="SHA-512" hashValue="AaX7/TyP4/Q0ifQ9T+mCnsrNSkmh4ztkpI9G5x0uAWtYeYA+uwyRIV5Cj3TKGj9WrxrH0sHT11VV0pin11S9wg==" saltValue="rJ8RmfavWm4f6sNpDyThbA==" spinCount="100000" sheet="1" formatCells="0" formatRows="0" selectLockedCells="1"/>
  <mergeCells count="10">
    <mergeCell ref="B43:H43"/>
    <mergeCell ref="B44:H44"/>
    <mergeCell ref="B45:H45"/>
    <mergeCell ref="D64:E64"/>
    <mergeCell ref="B1:G1"/>
    <mergeCell ref="B37:H37"/>
    <mergeCell ref="B38:H38"/>
    <mergeCell ref="B39:H39"/>
    <mergeCell ref="B40:H40"/>
    <mergeCell ref="B42:H42"/>
  </mergeCells>
  <conditionalFormatting sqref="B71">
    <cfRule type="cellIs" dxfId="1" priority="1" operator="equal">
      <formula>"Need to Fill"</formula>
    </cfRule>
  </conditionalFormatting>
  <conditionalFormatting sqref="D48:D52">
    <cfRule type="cellIs" dxfId="0" priority="2" operator="equal">
      <formula>"Need to Fill"</formula>
    </cfRule>
  </conditionalFormatting>
  <dataValidations count="1">
    <dataValidation type="list" allowBlank="1" showInputMessage="1" showErrorMessage="1" sqref="B19:B22 H61 E19:E22 H19:H22 B30:B33 E30:E33 B61 E61 H30:H33" xr:uid="{6A04C213-94C3-4170-8E2E-166E02BC2110}">
      <formula1>"1,2,3,4,5"</formula1>
    </dataValidation>
  </dataValidations>
  <pageMargins left="0.7" right="0.7" top="0.75" bottom="0.75" header="0.3" footer="0.3"/>
  <pageSetup scale="6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Appraisal Form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Nyein Nyein San</dc:creator>
  <cp:keywords/>
  <dc:description/>
  <cp:lastModifiedBy>Phyo Thu Han</cp:lastModifiedBy>
  <cp:revision/>
  <dcterms:created xsi:type="dcterms:W3CDTF">2025-12-17T06:42:28Z</dcterms:created>
  <dcterms:modified xsi:type="dcterms:W3CDTF">2026-04-22T04:45:46Z</dcterms:modified>
  <cp:category/>
  <cp:contentStatus/>
</cp:coreProperties>
</file>